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397985B-5FBD-4349-A99A-AF57281554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ấm công tháng" sheetId="1" r:id="rId1"/>
    <sheet name="Quy định điểm trừ" sheetId="2" r:id="rId2"/>
    <sheet name="Sheet1" sheetId="3" state="hidden" r:id="rId3"/>
    <sheet name="Dữ liệu gốc" sheetId="4" r:id="rId4"/>
    <sheet name="Sheet3" sheetId="5" state="hidden" r:id="rId5"/>
  </sheets>
  <definedNames>
    <definedName name="_xlnm._FilterDatabase" localSheetId="0" hidden="1">'Chấm công tháng'!$A$5:$N$28</definedName>
    <definedName name="_xlnm.Print_Area" localSheetId="0">'Chấm công tháng'!$A$1:$N$29</definedName>
    <definedName name="_xlnm.Print_Titles" localSheetId="0">'Chấm công tháng'!$1:$5</definedName>
  </definedNames>
  <calcPr calcId="191029" forceFullCalc="1"/>
</workbook>
</file>

<file path=xl/calcChain.xml><?xml version="1.0" encoding="utf-8"?>
<calcChain xmlns="http://schemas.openxmlformats.org/spreadsheetml/2006/main">
  <c r="K29" i="1" l="1"/>
  <c r="J29" i="1"/>
  <c r="I29" i="1"/>
  <c r="H29" i="1"/>
  <c r="G29" i="1"/>
  <c r="F29" i="1"/>
  <c r="E29" i="1"/>
  <c r="D29" i="1"/>
  <c r="M28" i="1"/>
  <c r="N28" i="1" s="1"/>
  <c r="L28" i="1"/>
  <c r="M27" i="1"/>
  <c r="N27" i="1" s="1"/>
  <c r="L27" i="1"/>
  <c r="M26" i="1"/>
  <c r="N26" i="1" s="1"/>
  <c r="L26" i="1"/>
  <c r="M25" i="1"/>
  <c r="N25" i="1" s="1"/>
  <c r="L25" i="1"/>
  <c r="M24" i="1"/>
  <c r="N24" i="1" s="1"/>
  <c r="L24" i="1"/>
  <c r="M23" i="1"/>
  <c r="N23" i="1" s="1"/>
  <c r="L23" i="1"/>
  <c r="M22" i="1"/>
  <c r="N22" i="1" s="1"/>
  <c r="L22" i="1"/>
  <c r="M21" i="1"/>
  <c r="N21" i="1" s="1"/>
  <c r="L21" i="1"/>
  <c r="M20" i="1"/>
  <c r="N20" i="1" s="1"/>
  <c r="L20" i="1"/>
  <c r="M19" i="1"/>
  <c r="N19" i="1" s="1"/>
  <c r="L19" i="1"/>
  <c r="M18" i="1"/>
  <c r="N18" i="1" s="1"/>
  <c r="L18" i="1"/>
  <c r="M17" i="1"/>
  <c r="N17" i="1" s="1"/>
  <c r="L17" i="1"/>
  <c r="M16" i="1"/>
  <c r="N16" i="1" s="1"/>
  <c r="L16" i="1"/>
  <c r="M15" i="1"/>
  <c r="N15" i="1" s="1"/>
  <c r="L15" i="1"/>
  <c r="M14" i="1"/>
  <c r="N14" i="1" s="1"/>
  <c r="L14" i="1"/>
  <c r="M13" i="1"/>
  <c r="N13" i="1" s="1"/>
  <c r="L13" i="1"/>
  <c r="M12" i="1"/>
  <c r="N12" i="1" s="1"/>
  <c r="L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N7" i="1" s="1"/>
  <c r="L7" i="1"/>
  <c r="M6" i="1"/>
  <c r="L6" i="1"/>
  <c r="L3" i="1"/>
  <c r="M29" i="1" l="1"/>
  <c r="L29" i="1"/>
  <c r="N6" i="1"/>
  <c r="N29" i="1" s="1"/>
</calcChain>
</file>

<file path=xl/sharedStrings.xml><?xml version="1.0" encoding="utf-8"?>
<sst xmlns="http://schemas.openxmlformats.org/spreadsheetml/2006/main" count="275" uniqueCount="126">
  <si>
    <t>BẢNG CHẤM CÔNG – THEO DÕI ĐIỂM TRỪ HÀNG THÁNG</t>
  </si>
  <si>
    <t>Tháng</t>
  </si>
  <si>
    <t>Năm</t>
  </si>
  <si>
    <t>Người chấm công</t>
  </si>
  <si>
    <t>Ngày lập</t>
  </si>
  <si>
    <t>TT</t>
  </si>
  <si>
    <t>Họ và tên</t>
  </si>
  <si>
    <t>Chức vụ</t>
  </si>
  <si>
    <t>Vắng</t>
  </si>
  <si>
    <t>Không chào cờ</t>
  </si>
  <si>
    <t>Vắng giao ban</t>
  </si>
  <si>
    <t>Vắng lao động</t>
  </si>
  <si>
    <t>Vắng trực bán trú</t>
  </si>
  <si>
    <t>Đi chậm 5 phút</t>
  </si>
  <si>
    <t>Đồng phục không đúng quy định</t>
  </si>
  <si>
    <t>Hút thuốc không đúng nơi</t>
  </si>
  <si>
    <t>Tổng lượt vi phạm</t>
  </si>
  <si>
    <t>Tổng điểm trừ</t>
  </si>
  <si>
    <t>Điểm còn lại</t>
  </si>
  <si>
    <t>Nguyễn Đăng Huy</t>
  </si>
  <si>
    <t>HT</t>
  </si>
  <si>
    <t>HP</t>
  </si>
  <si>
    <t>Thái văn Khiêm</t>
  </si>
  <si>
    <t>Dương Hồng Nguyên</t>
  </si>
  <si>
    <t>GV</t>
  </si>
  <si>
    <t>Ngô Xuân An</t>
  </si>
  <si>
    <t>CT.CĐ</t>
  </si>
  <si>
    <t>Hoàng Mạnh Quân</t>
  </si>
  <si>
    <t>Hồ Viết Kiên</t>
  </si>
  <si>
    <t>Lô Thị Ngoan</t>
  </si>
  <si>
    <t>TB</t>
  </si>
  <si>
    <t>Lê Trung Thủy</t>
  </si>
  <si>
    <t>TP.Đ</t>
  </si>
  <si>
    <t>Kha Văn Xay</t>
  </si>
  <si>
    <t>Luơng Văn Xoan</t>
  </si>
  <si>
    <t>Nguyễn Thị L. Anh</t>
  </si>
  <si>
    <t>Kha Văn Dũng</t>
  </si>
  <si>
    <t>TP</t>
  </si>
  <si>
    <t>Vi Dương Phùng</t>
  </si>
  <si>
    <t>Trần Thị Vân</t>
  </si>
  <si>
    <t>Vi Thị Thùy</t>
  </si>
  <si>
    <t>Lô Thị Đắm</t>
  </si>
  <si>
    <t>Phạm T.Trâm Anh</t>
  </si>
  <si>
    <t>Vi Văn Thắng</t>
  </si>
  <si>
    <t>NV</t>
  </si>
  <si>
    <t>TỔNG CỘNG</t>
  </si>
  <si>
    <t>Ghi chú: Nhập số lần vi phạm (0, 1, 2, …) tại các cột điểm trừ. Mức điểm trừ được điều chỉnh tại sheet “Quy định điểm trừ”.</t>
  </si>
  <si>
    <t>QUY ĐỊNH / MỨC ĐIỂM TRỪ (CÓ THỂ CHỈNH SỬA)</t>
  </si>
  <si>
    <t>Nội dung điểm trừ</t>
  </si>
  <si>
    <t>Mức điểm trừ/lần</t>
  </si>
  <si>
    <t>Ghi chú</t>
  </si>
  <si>
    <t>Có thể thay đổi theo quy chế của đơn vị</t>
  </si>
  <si>
    <t xml:space="preserve">Họ và tên </t>
  </si>
  <si>
    <t>Ngày tháng năm sinh</t>
  </si>
  <si>
    <t>Chức vụ-nhiệm vụ</t>
  </si>
  <si>
    <t>Đăng ký các danh hiệu thi đua năm học 2018-2019</t>
  </si>
  <si>
    <t>Ký tên</t>
  </si>
  <si>
    <t>25/3/1973</t>
  </si>
  <si>
    <t xml:space="preserve"> CSTĐ cấp cơ sở- LĐLĐ huyện tặng Giấy khen</t>
  </si>
  <si>
    <t>Hoàng Mạnh</t>
  </si>
  <si>
    <t>P.HT</t>
  </si>
  <si>
    <t xml:space="preserve">Dương Hồng </t>
  </si>
  <si>
    <t>Nguyên</t>
  </si>
  <si>
    <t>13/12 /1984</t>
  </si>
  <si>
    <t>CT CĐ</t>
  </si>
  <si>
    <t>Lao động tiên tiến</t>
  </si>
  <si>
    <t xml:space="preserve">Bùi Đình </t>
  </si>
  <si>
    <t xml:space="preserve"> CSTĐ cấp cơ sở</t>
  </si>
  <si>
    <t>21/4/1965</t>
  </si>
  <si>
    <t xml:space="preserve">Hồ Viết </t>
  </si>
  <si>
    <t>26/01/1986</t>
  </si>
  <si>
    <t xml:space="preserve">Nguyễn Thị </t>
  </si>
  <si>
    <t>Lê</t>
  </si>
  <si>
    <t xml:space="preserve">Vi Văn </t>
  </si>
  <si>
    <t xml:space="preserve">Lô Thị </t>
  </si>
  <si>
    <t>thiết bị</t>
  </si>
  <si>
    <t xml:space="preserve">Lê Trung </t>
  </si>
  <si>
    <t xml:space="preserve">Phạm T.Trâm </t>
  </si>
  <si>
    <t>Anh</t>
  </si>
  <si>
    <t>Thư viện</t>
  </si>
  <si>
    <t>Thắng</t>
  </si>
  <si>
    <t>Phục vụ</t>
  </si>
  <si>
    <t xml:space="preserve">Kha Văn </t>
  </si>
  <si>
    <t>24/10/1973</t>
  </si>
  <si>
    <t xml:space="preserve">Ngô Xuân </t>
  </si>
  <si>
    <t>14/7/1981</t>
  </si>
  <si>
    <t xml:space="preserve">Nguyễn Thị Linh </t>
  </si>
  <si>
    <t xml:space="preserve">Luơng Văn </t>
  </si>
  <si>
    <t>26/11 /1976</t>
  </si>
  <si>
    <t>28/06/1986</t>
  </si>
  <si>
    <t>Đắm</t>
  </si>
  <si>
    <t xml:space="preserve">Trần Thị </t>
  </si>
  <si>
    <t>28/5/1977</t>
  </si>
  <si>
    <t>kế toán</t>
  </si>
  <si>
    <t>Dũng</t>
  </si>
  <si>
    <t>23/11/1980</t>
  </si>
  <si>
    <t>Nguyễn Quỳnh</t>
  </si>
  <si>
    <t>Thương</t>
  </si>
  <si>
    <t xml:space="preserve">Nguyễn Thị Lan </t>
  </si>
  <si>
    <t xml:space="preserve">        LIÊN ĐOÀN LAO ĐỘNG HUYỆN TƯƠNG DƯƠNG                                                                                 CỘNG HÒA XÃ HỘI CHỦ NGHĨA VIỆT NAM</t>
  </si>
  <si>
    <t xml:space="preserve">                                                      BẢNG THEO DÕI  -  XẾP LOẠI ĐOÀN VIÊN</t>
  </si>
  <si>
    <t xml:space="preserve">                                                                      NĂM HỌC 2023 - 2024</t>
  </si>
  <si>
    <t xml:space="preserve">  HỌ    VÀ </t>
  </si>
  <si>
    <t xml:space="preserve">Chức </t>
  </si>
  <si>
    <t xml:space="preserve">ĐIỂM </t>
  </si>
  <si>
    <t>THÁ</t>
  </si>
  <si>
    <t>NG</t>
  </si>
  <si>
    <t xml:space="preserve">   Ngày nghỉ</t>
  </si>
  <si>
    <t>Tổng</t>
  </si>
  <si>
    <t>Vụ</t>
  </si>
  <si>
    <t>C. phép</t>
  </si>
  <si>
    <t>K.phép</t>
  </si>
  <si>
    <t>ĐIỂM</t>
  </si>
  <si>
    <t>Phạm Văn</t>
  </si>
  <si>
    <t xml:space="preserve">Vũ Thị Lê </t>
  </si>
  <si>
    <t>Nguyễn Thị L.</t>
  </si>
  <si>
    <t>Vi Thị</t>
  </si>
  <si>
    <t xml:space="preserve">                                       Người chấm công</t>
  </si>
  <si>
    <t>(Ký, họ tên)</t>
  </si>
  <si>
    <t>_________Phạm T.Trâm Anh___________</t>
  </si>
  <si>
    <t>Trần Trọng Nghĩa</t>
  </si>
  <si>
    <t>Nguyễn Đặng Trà Vy</t>
  </si>
  <si>
    <t>Trần Thanh Nga</t>
  </si>
  <si>
    <t>KT</t>
  </si>
  <si>
    <t>TV</t>
  </si>
  <si>
    <t>Đơn vị: Trường PTDTBT THCS YÊN HÒA 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</si>
</sst>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m/d/yyyy"/>
    <numFmt numFmtId="166" formatCode="dd/mm/yyyy"/>
  </numFmts>
  <fonts count="35" x14ac:knownFonts="1">
    <font>
      <sz val="10"/>
      <name val="Arial"/>
    </font>
    <font>
      <sz val="11"/>
      <color rgb="FF00000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8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Arial"/>
      <family val="2"/>
    </font>
    <font>
      <i/>
      <sz val="14"/>
      <color rgb="FF00000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</font>
    <font>
      <b/>
      <sz val="10"/>
      <color rgb="FFFFFFFF"/>
      <name val="Arial"/>
    </font>
    <font>
      <b/>
      <sz val="16"/>
      <name val="Arial"/>
    </font>
    <font>
      <b/>
      <sz val="12"/>
      <name val="Arial"/>
    </font>
    <font>
      <b/>
      <sz val="10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F2F6FA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 shrinkToFit="1"/>
    </xf>
    <xf numFmtId="164" fontId="11" fillId="0" borderId="1" xfId="0" applyNumberFormat="1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2" xfId="0" applyFont="1" applyBorder="1"/>
    <xf numFmtId="165" fontId="15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165" fontId="12" fillId="0" borderId="1" xfId="0" applyNumberFormat="1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top" wrapText="1"/>
    </xf>
    <xf numFmtId="165" fontId="12" fillId="0" borderId="1" xfId="0" applyNumberFormat="1" applyFont="1" applyBorder="1" applyAlignment="1">
      <alignment horizontal="left" vertical="top" wrapText="1"/>
    </xf>
    <xf numFmtId="0" fontId="16" fillId="0" borderId="2" xfId="0" applyFont="1" applyBorder="1"/>
    <xf numFmtId="0" fontId="16" fillId="0" borderId="3" xfId="0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165" fontId="16" fillId="0" borderId="3" xfId="0" applyNumberFormat="1" applyFont="1" applyBorder="1" applyAlignment="1">
      <alignment vertical="center" wrapText="1"/>
    </xf>
    <xf numFmtId="0" fontId="18" fillId="0" borderId="0" xfId="0" applyFont="1"/>
    <xf numFmtId="0" fontId="3" fillId="0" borderId="0" xfId="0" applyFont="1"/>
    <xf numFmtId="0" fontId="19" fillId="0" borderId="0" xfId="0" applyFont="1"/>
    <xf numFmtId="0" fontId="20" fillId="0" borderId="4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 shrinkToFit="1"/>
    </xf>
    <xf numFmtId="0" fontId="7" fillId="0" borderId="4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wrapText="1" shrinkToFit="1"/>
    </xf>
    <xf numFmtId="164" fontId="4" fillId="0" borderId="6" xfId="0" applyNumberFormat="1" applyFont="1" applyBorder="1" applyAlignment="1">
      <alignment horizontal="center" vertical="center" wrapText="1" shrinkToFit="1"/>
    </xf>
    <xf numFmtId="0" fontId="21" fillId="0" borderId="6" xfId="0" applyFont="1" applyBorder="1"/>
    <xf numFmtId="0" fontId="20" fillId="0" borderId="2" xfId="0" applyFont="1" applyBorder="1"/>
    <xf numFmtId="0" fontId="20" fillId="0" borderId="3" xfId="0" applyFont="1" applyBorder="1"/>
    <xf numFmtId="0" fontId="21" fillId="0" borderId="7" xfId="0" applyFont="1" applyBorder="1"/>
    <xf numFmtId="0" fontId="21" fillId="0" borderId="8" xfId="0" applyFont="1" applyBorder="1"/>
    <xf numFmtId="0" fontId="22" fillId="0" borderId="9" xfId="0" applyFont="1" applyBorder="1"/>
    <xf numFmtId="0" fontId="20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3" fillId="0" borderId="2" xfId="0" applyFont="1" applyBorder="1"/>
    <xf numFmtId="0" fontId="23" fillId="0" borderId="3" xfId="0" applyFont="1" applyBorder="1" applyAlignment="1">
      <alignment horizontal="left"/>
    </xf>
    <xf numFmtId="0" fontId="23" fillId="0" borderId="1" xfId="0" applyFont="1" applyBorder="1" applyAlignment="1">
      <alignment horizontal="center" wrapText="1"/>
    </xf>
    <xf numFmtId="0" fontId="23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8" fillId="0" borderId="1" xfId="0" applyFont="1" applyBorder="1"/>
    <xf numFmtId="0" fontId="21" fillId="0" borderId="1" xfId="0" applyFont="1" applyBorder="1"/>
    <xf numFmtId="165" fontId="23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23" fillId="0" borderId="1" xfId="0" applyNumberFormat="1" applyFont="1" applyBorder="1" applyAlignment="1">
      <alignment horizontal="center" wrapText="1"/>
    </xf>
    <xf numFmtId="0" fontId="8" fillId="0" borderId="2" xfId="0" applyFont="1" applyBorder="1"/>
    <xf numFmtId="0" fontId="8" fillId="0" borderId="2" xfId="0" applyFont="1" applyBorder="1" applyAlignment="1">
      <alignment vertical="center" wrapText="1"/>
    </xf>
    <xf numFmtId="0" fontId="23" fillId="0" borderId="11" xfId="0" applyFont="1" applyBorder="1"/>
    <xf numFmtId="0" fontId="23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166" fontId="0" fillId="0" borderId="0" xfId="0" applyNumberFormat="1"/>
    <xf numFmtId="0" fontId="30" fillId="3" borderId="12" xfId="0" applyFont="1" applyFill="1" applyBorder="1" applyAlignment="1">
      <alignment horizontal="center" vertical="center" wrapText="1"/>
    </xf>
    <xf numFmtId="0" fontId="30" fillId="3" borderId="12" xfId="0" applyFont="1" applyFill="1" applyBorder="1" applyAlignment="1">
      <alignment horizontal="left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left" vertical="center" wrapText="1"/>
    </xf>
    <xf numFmtId="1" fontId="0" fillId="4" borderId="12" xfId="0" applyNumberFormat="1" applyFill="1" applyBorder="1" applyAlignment="1">
      <alignment horizontal="center" vertical="center" wrapText="1"/>
    </xf>
    <xf numFmtId="2" fontId="0" fillId="4" borderId="12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1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left" vertical="center" wrapText="1"/>
    </xf>
    <xf numFmtId="1" fontId="33" fillId="5" borderId="12" xfId="0" applyNumberFormat="1" applyFont="1" applyFill="1" applyBorder="1" applyAlignment="1">
      <alignment horizontal="center" vertical="center" wrapText="1"/>
    </xf>
    <xf numFmtId="2" fontId="33" fillId="5" borderId="12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4" fillId="0" borderId="0" xfId="0" applyFont="1" applyAlignment="1">
      <alignment wrapText="1"/>
    </xf>
    <xf numFmtId="0" fontId="0" fillId="0" borderId="0" xfId="0"/>
    <xf numFmtId="0" fontId="32" fillId="0" borderId="0" xfId="0" applyFont="1"/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1" fillId="0" borderId="1" xfId="0" applyNumberFormat="1" applyFont="1" applyBorder="1" applyAlignment="1">
      <alignment horizontal="center" vertical="center" wrapText="1" shrinkToFit="1"/>
    </xf>
    <xf numFmtId="0" fontId="0" fillId="0" borderId="3" xfId="0" applyBorder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0" xfId="0" applyFont="1"/>
  </cellXfs>
  <cellStyles count="2">
    <cellStyle name="Normal" xfId="0" builtinId="0"/>
    <cellStyle name="Normal 2" xfId="1" xr:uid="{00000000-0005-0000-0000-000006000000}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S16" sqref="S16"/>
    </sheetView>
  </sheetViews>
  <sheetFormatPr defaultRowHeight="12.75" x14ac:dyDescent="0.2"/>
  <cols>
    <col min="1" max="1" width="6" customWidth="1"/>
    <col min="2" max="2" width="24" customWidth="1"/>
    <col min="3" max="3" width="12" customWidth="1"/>
    <col min="4" max="4" width="9" customWidth="1"/>
    <col min="5" max="5" width="13" customWidth="1"/>
    <col min="6" max="6" width="11.140625" customWidth="1"/>
    <col min="7" max="7" width="13" customWidth="1"/>
    <col min="8" max="8" width="14" customWidth="1"/>
    <col min="9" max="9" width="10" customWidth="1"/>
    <col min="10" max="10" width="16.140625" customWidth="1"/>
    <col min="11" max="11" width="13.140625" customWidth="1"/>
    <col min="12" max="12" width="11.28515625" customWidth="1"/>
    <col min="13" max="13" width="11.7109375" customWidth="1"/>
    <col min="14" max="14" width="14" customWidth="1"/>
  </cols>
  <sheetData>
    <row r="1" spans="1:14" ht="20.25" x14ac:dyDescent="0.3">
      <c r="A1" s="99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15.75" x14ac:dyDescent="0.25">
      <c r="A2" s="98" t="s">
        <v>125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x14ac:dyDescent="0.2">
      <c r="A3" t="s">
        <v>1</v>
      </c>
      <c r="B3">
        <v>9</v>
      </c>
      <c r="C3" t="s">
        <v>2</v>
      </c>
      <c r="D3">
        <v>2026</v>
      </c>
      <c r="F3" t="s">
        <v>3</v>
      </c>
      <c r="G3" s="97" t="s">
        <v>119</v>
      </c>
      <c r="H3" s="97"/>
      <c r="I3" s="97"/>
      <c r="K3" t="s">
        <v>4</v>
      </c>
      <c r="L3" s="79">
        <f ca="1">TODAY()</f>
        <v>46282</v>
      </c>
    </row>
    <row r="5" spans="1:14" ht="51.95" customHeight="1" x14ac:dyDescent="0.2">
      <c r="A5" s="80" t="s">
        <v>5</v>
      </c>
      <c r="B5" s="81" t="s">
        <v>6</v>
      </c>
      <c r="C5" s="80" t="s">
        <v>7</v>
      </c>
      <c r="D5" s="80" t="s">
        <v>8</v>
      </c>
      <c r="E5" s="80" t="s">
        <v>9</v>
      </c>
      <c r="F5" s="80" t="s">
        <v>10</v>
      </c>
      <c r="G5" s="80" t="s">
        <v>11</v>
      </c>
      <c r="H5" s="80" t="s">
        <v>12</v>
      </c>
      <c r="I5" s="80" t="s">
        <v>13</v>
      </c>
      <c r="J5" s="80" t="s">
        <v>14</v>
      </c>
      <c r="K5" s="80" t="s">
        <v>15</v>
      </c>
      <c r="L5" s="80" t="s">
        <v>16</v>
      </c>
      <c r="M5" s="80" t="s">
        <v>17</v>
      </c>
      <c r="N5" s="80" t="s">
        <v>18</v>
      </c>
    </row>
    <row r="6" spans="1:14" x14ac:dyDescent="0.2">
      <c r="A6" s="82">
        <v>1</v>
      </c>
      <c r="B6" s="83" t="s">
        <v>19</v>
      </c>
      <c r="C6" s="86" t="s">
        <v>21</v>
      </c>
      <c r="D6" s="84">
        <v>0</v>
      </c>
      <c r="E6" s="84">
        <v>0</v>
      </c>
      <c r="F6" s="84">
        <v>0</v>
      </c>
      <c r="G6" s="84">
        <v>0</v>
      </c>
      <c r="H6" s="84">
        <v>0</v>
      </c>
      <c r="I6" s="84">
        <v>0</v>
      </c>
      <c r="J6" s="84">
        <v>0</v>
      </c>
      <c r="K6" s="84">
        <v>0</v>
      </c>
      <c r="L6" s="84">
        <f t="shared" ref="L6:L28" si="0">SUM(D6:K6)</f>
        <v>0</v>
      </c>
      <c r="M6" s="85">
        <f>D6*'Quy định điểm trừ'!$B$3+E6*'Quy định điểm trừ'!$B$4+F6*'Quy định điểm trừ'!$B$5+G6*'Quy định điểm trừ'!$B$6+H6*'Quy định điểm trừ'!$B$7+I6*'Quy định điểm trừ'!$B$8+J6*'Quy định điểm trừ'!$B$9+K6*'Quy định điểm trừ'!$B$10</f>
        <v>0</v>
      </c>
      <c r="N6" s="85">
        <f t="shared" ref="N6:N28" si="1">MAX(0,100-M6)</f>
        <v>100</v>
      </c>
    </row>
    <row r="7" spans="1:14" x14ac:dyDescent="0.2">
      <c r="A7" s="86">
        <v>2</v>
      </c>
      <c r="B7" s="87" t="s">
        <v>120</v>
      </c>
      <c r="C7" s="86" t="s">
        <v>24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88">
        <f t="shared" si="0"/>
        <v>0</v>
      </c>
      <c r="M7" s="89">
        <f>D7*'Quy định điểm trừ'!$B$3+E7*'Quy định điểm trừ'!$B$4+F7*'Quy định điểm trừ'!$B$5+G7*'Quy định điểm trừ'!$B$6+H7*'Quy định điểm trừ'!$B$7+I7*'Quy định điểm trừ'!$B$8+J7*'Quy định điểm trừ'!$B$9+K7*'Quy định điểm trừ'!$B$10</f>
        <v>0</v>
      </c>
      <c r="N7" s="89">
        <f t="shared" si="1"/>
        <v>100</v>
      </c>
    </row>
    <row r="8" spans="1:14" x14ac:dyDescent="0.2">
      <c r="A8" s="82">
        <v>3</v>
      </c>
      <c r="B8" s="83" t="s">
        <v>22</v>
      </c>
      <c r="C8" s="86" t="s">
        <v>24</v>
      </c>
      <c r="D8" s="84">
        <v>1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f t="shared" si="0"/>
        <v>1</v>
      </c>
      <c r="M8" s="85">
        <f>D8*'Quy định điểm trừ'!$B$3+E8*'Quy định điểm trừ'!$B$4+F8*'Quy định điểm trừ'!$B$5+G8*'Quy định điểm trừ'!$B$6+H8*'Quy định điểm trừ'!$B$7+I8*'Quy định điểm trừ'!$B$8+J8*'Quy định điểm trừ'!$B$9+K8*'Quy định điểm trừ'!$B$10</f>
        <v>1</v>
      </c>
      <c r="N8" s="85">
        <f t="shared" si="1"/>
        <v>99</v>
      </c>
    </row>
    <row r="9" spans="1:14" x14ac:dyDescent="0.2">
      <c r="A9" s="86">
        <v>4</v>
      </c>
      <c r="B9" s="87" t="s">
        <v>23</v>
      </c>
      <c r="C9" s="86" t="s">
        <v>24</v>
      </c>
      <c r="D9" s="88">
        <v>6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f t="shared" si="0"/>
        <v>6</v>
      </c>
      <c r="M9" s="89">
        <f>D9*'Quy định điểm trừ'!$B$3+E9*'Quy định điểm trừ'!$B$4+F9*'Quy định điểm trừ'!$B$5+G9*'Quy định điểm trừ'!$B$6+H9*'Quy định điểm trừ'!$B$7+I9*'Quy định điểm trừ'!$B$8+J9*'Quy định điểm trừ'!$B$9+K9*'Quy định điểm trừ'!$B$10</f>
        <v>6</v>
      </c>
      <c r="N9" s="89">
        <f t="shared" si="1"/>
        <v>94</v>
      </c>
    </row>
    <row r="10" spans="1:14" x14ac:dyDescent="0.2">
      <c r="A10" s="82">
        <v>5</v>
      </c>
      <c r="B10" s="87" t="s">
        <v>25</v>
      </c>
      <c r="C10" s="86" t="s">
        <v>24</v>
      </c>
      <c r="D10" s="84">
        <v>0</v>
      </c>
      <c r="E10" s="84">
        <v>0</v>
      </c>
      <c r="F10" s="84">
        <v>0</v>
      </c>
      <c r="G10" s="84">
        <v>0</v>
      </c>
      <c r="H10" s="84">
        <v>0</v>
      </c>
      <c r="I10" s="84">
        <v>0</v>
      </c>
      <c r="J10" s="84">
        <v>0</v>
      </c>
      <c r="K10" s="84">
        <v>0</v>
      </c>
      <c r="L10" s="84">
        <f t="shared" si="0"/>
        <v>0</v>
      </c>
      <c r="M10" s="85">
        <f>D10*'Quy định điểm trừ'!$B$3+E10*'Quy định điểm trừ'!$B$4+F10*'Quy định điểm trừ'!$B$5+G10*'Quy định điểm trừ'!$B$6+H10*'Quy định điểm trừ'!$B$7+I10*'Quy định điểm trừ'!$B$8+J10*'Quy định điểm trừ'!$B$9+K10*'Quy định điểm trừ'!$B$10</f>
        <v>0</v>
      </c>
      <c r="N10" s="85">
        <f t="shared" si="1"/>
        <v>100</v>
      </c>
    </row>
    <row r="11" spans="1:14" x14ac:dyDescent="0.2">
      <c r="A11" s="86">
        <v>6</v>
      </c>
      <c r="B11" s="87" t="s">
        <v>27</v>
      </c>
      <c r="C11" s="86" t="s">
        <v>24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88">
        <f t="shared" si="0"/>
        <v>0</v>
      </c>
      <c r="M11" s="89">
        <f>D11*'Quy định điểm trừ'!$B$3+E11*'Quy định điểm trừ'!$B$4+F11*'Quy định điểm trừ'!$B$5+G11*'Quy định điểm trừ'!$B$6+H11*'Quy định điểm trừ'!$B$7+I11*'Quy định điểm trừ'!$B$8+J11*'Quy định điểm trừ'!$B$9+K11*'Quy định điểm trừ'!$B$10</f>
        <v>0</v>
      </c>
      <c r="N11" s="89">
        <f t="shared" si="1"/>
        <v>100</v>
      </c>
    </row>
    <row r="12" spans="1:14" x14ac:dyDescent="0.2">
      <c r="A12" s="82">
        <v>7</v>
      </c>
      <c r="B12" s="83" t="s">
        <v>28</v>
      </c>
      <c r="C12" s="86" t="s">
        <v>24</v>
      </c>
      <c r="D12" s="84">
        <v>0</v>
      </c>
      <c r="E12" s="84">
        <v>0</v>
      </c>
      <c r="F12" s="84">
        <v>0</v>
      </c>
      <c r="G12" s="84">
        <v>0</v>
      </c>
      <c r="H12" s="84">
        <v>0</v>
      </c>
      <c r="I12" s="84">
        <v>0</v>
      </c>
      <c r="J12" s="84">
        <v>0</v>
      </c>
      <c r="K12" s="84">
        <v>0</v>
      </c>
      <c r="L12" s="84">
        <f t="shared" si="0"/>
        <v>0</v>
      </c>
      <c r="M12" s="85">
        <f>D12*'Quy định điểm trừ'!$B$3+E12*'Quy định điểm trừ'!$B$4+F12*'Quy định điểm trừ'!$B$5+G12*'Quy định điểm trừ'!$B$6+H12*'Quy định điểm trừ'!$B$7+I12*'Quy định điểm trừ'!$B$8+J12*'Quy định điểm trừ'!$B$9+K12*'Quy định điểm trừ'!$B$10</f>
        <v>0</v>
      </c>
      <c r="N12" s="85">
        <f t="shared" si="1"/>
        <v>100</v>
      </c>
    </row>
    <row r="13" spans="1:14" x14ac:dyDescent="0.2">
      <c r="A13" s="86">
        <v>8</v>
      </c>
      <c r="B13" s="83" t="s">
        <v>29</v>
      </c>
      <c r="C13" s="86" t="s">
        <v>30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f t="shared" si="0"/>
        <v>0</v>
      </c>
      <c r="M13" s="89">
        <f>D13*'Quy định điểm trừ'!$B$3+E13*'Quy định điểm trừ'!$B$4+F13*'Quy định điểm trừ'!$B$5+G13*'Quy định điểm trừ'!$B$6+H13*'Quy định điểm trừ'!$B$7+I13*'Quy định điểm trừ'!$B$8+J13*'Quy định điểm trừ'!$B$9+K13*'Quy định điểm trừ'!$B$10</f>
        <v>0</v>
      </c>
      <c r="N13" s="89">
        <f t="shared" si="1"/>
        <v>100</v>
      </c>
    </row>
    <row r="14" spans="1:14" x14ac:dyDescent="0.2">
      <c r="A14" s="82">
        <v>9</v>
      </c>
      <c r="B14" s="87" t="s">
        <v>31</v>
      </c>
      <c r="C14" s="86" t="s">
        <v>24</v>
      </c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f t="shared" si="0"/>
        <v>0</v>
      </c>
      <c r="M14" s="85">
        <f>D14*'Quy định điểm trừ'!$B$3+E14*'Quy định điểm trừ'!$B$4+F14*'Quy định điểm trừ'!$B$5+G14*'Quy định điểm trừ'!$B$6+H14*'Quy định điểm trừ'!$B$7+I14*'Quy định điểm trừ'!$B$8+J14*'Quy định điểm trừ'!$B$9+K14*'Quy định điểm trừ'!$B$10</f>
        <v>0</v>
      </c>
      <c r="N14" s="85">
        <f t="shared" si="1"/>
        <v>100</v>
      </c>
    </row>
    <row r="15" spans="1:14" x14ac:dyDescent="0.2">
      <c r="A15" s="86">
        <v>10</v>
      </c>
      <c r="B15" s="83" t="s">
        <v>33</v>
      </c>
      <c r="C15" s="86" t="s">
        <v>24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f t="shared" si="0"/>
        <v>0</v>
      </c>
      <c r="M15" s="89">
        <f>D15*'Quy định điểm trừ'!$B$3+E15*'Quy định điểm trừ'!$B$4+F15*'Quy định điểm trừ'!$B$5+G15*'Quy định điểm trừ'!$B$6+H15*'Quy định điểm trừ'!$B$7+I15*'Quy định điểm trừ'!$B$8+J15*'Quy định điểm trừ'!$B$9+K15*'Quy định điểm trừ'!$B$10</f>
        <v>0</v>
      </c>
      <c r="N15" s="89">
        <f t="shared" si="1"/>
        <v>100</v>
      </c>
    </row>
    <row r="16" spans="1:14" x14ac:dyDescent="0.2">
      <c r="A16" s="82">
        <v>11</v>
      </c>
      <c r="B16" s="87" t="s">
        <v>34</v>
      </c>
      <c r="C16" s="86" t="s">
        <v>24</v>
      </c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f t="shared" si="0"/>
        <v>0</v>
      </c>
      <c r="M16" s="85">
        <f>D16*'Quy định điểm trừ'!$B$3+E16*'Quy định điểm trừ'!$B$4+F16*'Quy định điểm trừ'!$B$5+G16*'Quy định điểm trừ'!$B$6+H16*'Quy định điểm trừ'!$B$7+I16*'Quy định điểm trừ'!$B$8+J16*'Quy định điểm trừ'!$B$9+K16*'Quy định điểm trừ'!$B$10</f>
        <v>0</v>
      </c>
      <c r="N16" s="85">
        <f t="shared" si="1"/>
        <v>100</v>
      </c>
    </row>
    <row r="17" spans="1:14" x14ac:dyDescent="0.2">
      <c r="A17" s="86">
        <v>12</v>
      </c>
      <c r="B17" s="83" t="s">
        <v>35</v>
      </c>
      <c r="C17" s="86" t="s">
        <v>24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f t="shared" si="0"/>
        <v>0</v>
      </c>
      <c r="M17" s="89">
        <f>D17*'Quy định điểm trừ'!$B$3+E17*'Quy định điểm trừ'!$B$4+F17*'Quy định điểm trừ'!$B$5+G17*'Quy định điểm trừ'!$B$6+H17*'Quy định điểm trừ'!$B$7+I17*'Quy định điểm trừ'!$B$8+J17*'Quy định điểm trừ'!$B$9+K17*'Quy định điểm trừ'!$B$10</f>
        <v>0</v>
      </c>
      <c r="N17" s="89">
        <f t="shared" si="1"/>
        <v>100</v>
      </c>
    </row>
    <row r="18" spans="1:14" x14ac:dyDescent="0.2">
      <c r="A18" s="82">
        <v>13</v>
      </c>
      <c r="B18" s="87" t="s">
        <v>36</v>
      </c>
      <c r="C18" s="86" t="s">
        <v>24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f t="shared" si="0"/>
        <v>0</v>
      </c>
      <c r="M18" s="85">
        <f>D18*'Quy định điểm trừ'!$B$3+E18*'Quy định điểm trừ'!$B$4+F18*'Quy định điểm trừ'!$B$5+G18*'Quy định điểm trừ'!$B$6+H18*'Quy định điểm trừ'!$B$7+I18*'Quy định điểm trừ'!$B$8+J18*'Quy định điểm trừ'!$B$9+K18*'Quy định điểm trừ'!$B$10</f>
        <v>0</v>
      </c>
      <c r="N18" s="85">
        <f t="shared" si="1"/>
        <v>100</v>
      </c>
    </row>
    <row r="19" spans="1:14" x14ac:dyDescent="0.2">
      <c r="A19" s="86">
        <v>14</v>
      </c>
      <c r="B19" s="83" t="s">
        <v>38</v>
      </c>
      <c r="C19" s="86" t="s">
        <v>24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f t="shared" si="0"/>
        <v>0</v>
      </c>
      <c r="M19" s="89">
        <f>D19*'Quy định điểm trừ'!$B$3+E19*'Quy định điểm trừ'!$B$4+F19*'Quy định điểm trừ'!$B$5+G19*'Quy định điểm trừ'!$B$6+H19*'Quy định điểm trừ'!$B$7+I19*'Quy định điểm trừ'!$B$8+J19*'Quy định điểm trừ'!$B$9+K19*'Quy định điểm trừ'!$B$10</f>
        <v>0</v>
      </c>
      <c r="N19" s="89">
        <f t="shared" si="1"/>
        <v>100</v>
      </c>
    </row>
    <row r="20" spans="1:14" x14ac:dyDescent="0.2">
      <c r="A20" s="82">
        <v>15</v>
      </c>
      <c r="B20" s="87" t="s">
        <v>39</v>
      </c>
      <c r="C20" s="86" t="s">
        <v>123</v>
      </c>
      <c r="D20" s="84">
        <v>0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f t="shared" si="0"/>
        <v>0</v>
      </c>
      <c r="M20" s="85">
        <f>D20*'Quy định điểm trừ'!$B$3+E20*'Quy định điểm trừ'!$B$4+F20*'Quy định điểm trừ'!$B$5+G20*'Quy định điểm trừ'!$B$6+H20*'Quy định điểm trừ'!$B$7+I20*'Quy định điểm trừ'!$B$8+J20*'Quy định điểm trừ'!$B$9+K20*'Quy định điểm trừ'!$B$10</f>
        <v>0</v>
      </c>
      <c r="N20" s="85">
        <f t="shared" si="1"/>
        <v>100</v>
      </c>
    </row>
    <row r="21" spans="1:14" x14ac:dyDescent="0.2">
      <c r="A21" s="86">
        <v>16</v>
      </c>
      <c r="B21" s="83" t="s">
        <v>40</v>
      </c>
      <c r="C21" s="86" t="s">
        <v>24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f t="shared" si="0"/>
        <v>0</v>
      </c>
      <c r="M21" s="89">
        <f>D21*'Quy định điểm trừ'!$B$3+E21*'Quy định điểm trừ'!$B$4+F21*'Quy định điểm trừ'!$B$5+G21*'Quy định điểm trừ'!$B$6+H21*'Quy định điểm trừ'!$B$7+I21*'Quy định điểm trừ'!$B$8+J21*'Quy định điểm trừ'!$B$9+K21*'Quy định điểm trừ'!$B$10</f>
        <v>0</v>
      </c>
      <c r="N21" s="89">
        <f t="shared" si="1"/>
        <v>100</v>
      </c>
    </row>
    <row r="22" spans="1:14" x14ac:dyDescent="0.2">
      <c r="A22" s="82">
        <v>17</v>
      </c>
      <c r="B22" s="87" t="s">
        <v>41</v>
      </c>
      <c r="C22" s="86" t="s">
        <v>24</v>
      </c>
      <c r="D22" s="84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f t="shared" si="0"/>
        <v>0</v>
      </c>
      <c r="M22" s="85">
        <f>D22*'Quy định điểm trừ'!$B$3+E22*'Quy định điểm trừ'!$B$4+F22*'Quy định điểm trừ'!$B$5+G22*'Quy định điểm trừ'!$B$6+H22*'Quy định điểm trừ'!$B$7+I22*'Quy định điểm trừ'!$B$8+J22*'Quy định điểm trừ'!$B$9+K22*'Quy định điểm trừ'!$B$10</f>
        <v>0</v>
      </c>
      <c r="N22" s="85">
        <f t="shared" si="1"/>
        <v>100</v>
      </c>
    </row>
    <row r="23" spans="1:14" x14ac:dyDescent="0.2">
      <c r="A23" s="86">
        <v>18</v>
      </c>
      <c r="B23" s="83" t="s">
        <v>42</v>
      </c>
      <c r="C23" s="86" t="s">
        <v>124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f t="shared" si="0"/>
        <v>0</v>
      </c>
      <c r="M23" s="89">
        <f>D23*'Quy định điểm trừ'!$B$3+E23*'Quy định điểm trừ'!$B$4+F23*'Quy định điểm trừ'!$B$5+G23*'Quy định điểm trừ'!$B$6+H23*'Quy định điểm trừ'!$B$7+I23*'Quy định điểm trừ'!$B$8+J23*'Quy định điểm trừ'!$B$9+K23*'Quy định điểm trừ'!$B$10</f>
        <v>0</v>
      </c>
      <c r="N23" s="89">
        <f t="shared" si="1"/>
        <v>100</v>
      </c>
    </row>
    <row r="24" spans="1:14" x14ac:dyDescent="0.2">
      <c r="A24" s="82">
        <v>19</v>
      </c>
      <c r="B24" t="s">
        <v>121</v>
      </c>
      <c r="C24" s="86" t="s">
        <v>24</v>
      </c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f t="shared" si="0"/>
        <v>0</v>
      </c>
      <c r="M24" s="85">
        <f>D24*'Quy định điểm trừ'!$B$3+E24*'Quy định điểm trừ'!$B$4+F24*'Quy định điểm trừ'!$B$5+G24*'Quy định điểm trừ'!$B$6+H24*'Quy định điểm trừ'!$B$7+I24*'Quy định điểm trừ'!$B$8+J24*'Quy định điểm trừ'!$B$9+K24*'Quy định điểm trừ'!$B$10</f>
        <v>0</v>
      </c>
      <c r="N24" s="85">
        <f t="shared" si="1"/>
        <v>100</v>
      </c>
    </row>
    <row r="25" spans="1:14" x14ac:dyDescent="0.2">
      <c r="A25" s="86">
        <v>20</v>
      </c>
      <c r="B25" t="s">
        <v>122</v>
      </c>
      <c r="C25" s="86" t="s">
        <v>24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f t="shared" si="0"/>
        <v>0</v>
      </c>
      <c r="M25" s="89">
        <f>D25*'Quy định điểm trừ'!$B$3+E25*'Quy định điểm trừ'!$B$4+F25*'Quy định điểm trừ'!$B$5+G25*'Quy định điểm trừ'!$B$6+H25*'Quy định điểm trừ'!$B$7+I25*'Quy định điểm trừ'!$B$8+J25*'Quy định điểm trừ'!$B$9+K25*'Quy định điểm trừ'!$B$10</f>
        <v>0</v>
      </c>
      <c r="N25" s="89">
        <f t="shared" si="1"/>
        <v>100</v>
      </c>
    </row>
    <row r="26" spans="1:14" x14ac:dyDescent="0.2">
      <c r="A26" s="82">
        <v>21</v>
      </c>
      <c r="B26" s="83" t="s">
        <v>43</v>
      </c>
      <c r="C26" s="86" t="s">
        <v>44</v>
      </c>
      <c r="D26" s="84">
        <v>0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f t="shared" si="0"/>
        <v>0</v>
      </c>
      <c r="M26" s="85">
        <f>D26*'Quy định điểm trừ'!$B$3+E26*'Quy định điểm trừ'!$B$4+F26*'Quy định điểm trừ'!$B$5+G26*'Quy định điểm trừ'!$B$6+H26*'Quy định điểm trừ'!$B$7+I26*'Quy định điểm trừ'!$B$8+J26*'Quy định điểm trừ'!$B$9+K26*'Quy định điểm trừ'!$B$10</f>
        <v>0</v>
      </c>
      <c r="N26" s="85">
        <f t="shared" si="1"/>
        <v>100</v>
      </c>
    </row>
    <row r="27" spans="1:14" x14ac:dyDescent="0.2">
      <c r="A27" s="86">
        <v>22</v>
      </c>
      <c r="B27" s="87"/>
      <c r="C27" s="86" t="s">
        <v>24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f t="shared" si="0"/>
        <v>0</v>
      </c>
      <c r="M27" s="89">
        <f>D27*'Quy định điểm trừ'!$B$3+E27*'Quy định điểm trừ'!$B$4+F27*'Quy định điểm trừ'!$B$5+G27*'Quy định điểm trừ'!$B$6+H27*'Quy định điểm trừ'!$B$7+I27*'Quy định điểm trừ'!$B$8+J27*'Quy định điểm trừ'!$B$9+K27*'Quy định điểm trừ'!$B$10</f>
        <v>0</v>
      </c>
      <c r="N27" s="89">
        <f t="shared" si="1"/>
        <v>100</v>
      </c>
    </row>
    <row r="28" spans="1:14" x14ac:dyDescent="0.2">
      <c r="A28" s="82">
        <v>23</v>
      </c>
      <c r="C28" s="86" t="s">
        <v>24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4">
        <v>0</v>
      </c>
      <c r="J28" s="84">
        <v>0</v>
      </c>
      <c r="K28" s="84">
        <v>0</v>
      </c>
      <c r="L28" s="84">
        <f t="shared" si="0"/>
        <v>0</v>
      </c>
      <c r="M28" s="85">
        <f>D28*'Quy định điểm trừ'!$B$3+E28*'Quy định điểm trừ'!$B$4+F28*'Quy định điểm trừ'!$B$5+G28*'Quy định điểm trừ'!$B$6+H28*'Quy định điểm trừ'!$B$7+I28*'Quy định điểm trừ'!$B$8+J28*'Quy định điểm trừ'!$B$9+K28*'Quy định điểm trừ'!$B$10</f>
        <v>0</v>
      </c>
      <c r="N28" s="85">
        <f t="shared" si="1"/>
        <v>100</v>
      </c>
    </row>
    <row r="29" spans="1:14" x14ac:dyDescent="0.2">
      <c r="A29" s="90"/>
      <c r="B29" s="91" t="s">
        <v>45</v>
      </c>
      <c r="C29" s="90"/>
      <c r="D29" s="92">
        <f t="shared" ref="D29:N29" si="2">SUM(D6:D28)</f>
        <v>7</v>
      </c>
      <c r="E29" s="92">
        <f t="shared" si="2"/>
        <v>0</v>
      </c>
      <c r="F29" s="92">
        <f t="shared" si="2"/>
        <v>0</v>
      </c>
      <c r="G29" s="92">
        <f t="shared" si="2"/>
        <v>0</v>
      </c>
      <c r="H29" s="92">
        <f t="shared" si="2"/>
        <v>0</v>
      </c>
      <c r="I29" s="92">
        <f t="shared" si="2"/>
        <v>0</v>
      </c>
      <c r="J29" s="92">
        <f t="shared" si="2"/>
        <v>0</v>
      </c>
      <c r="K29" s="92">
        <f t="shared" si="2"/>
        <v>0</v>
      </c>
      <c r="L29" s="92">
        <f t="shared" si="2"/>
        <v>7</v>
      </c>
      <c r="M29" s="93">
        <f t="shared" si="2"/>
        <v>7</v>
      </c>
      <c r="N29" s="93">
        <f t="shared" si="2"/>
        <v>2293</v>
      </c>
    </row>
    <row r="32" spans="1:14" x14ac:dyDescent="0.2">
      <c r="A32" s="96" t="s">
        <v>46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</sheetData>
  <autoFilter ref="A5:N28" xr:uid="{00000000-0009-0000-0000-000000000000}"/>
  <mergeCells count="4">
    <mergeCell ref="A32:N32"/>
    <mergeCell ref="G3:I3"/>
    <mergeCell ref="A2:N2"/>
    <mergeCell ref="A1:N1"/>
  </mergeCells>
  <conditionalFormatting sqref="M6:M28">
    <cfRule type="cellIs" dxfId="1" priority="1" operator="greaterThan">
      <formula>0</formula>
    </cfRule>
  </conditionalFormatting>
  <conditionalFormatting sqref="N6:N28">
    <cfRule type="cellIs" dxfId="0" priority="2" operator="lessThan">
      <formula>90</formula>
    </cfRule>
  </conditionalFormatting>
  <dataValidations count="1">
    <dataValidation type="whole" allowBlank="1" errorTitle="Dữ liệu không hợp lệ" error="Chỉ nhập số nguyên từ 0 đến 31." promptTitle="Chấm công" prompt="Nhập số lần vi phạm trong tháng." sqref="D6:K28" xr:uid="{00000000-0002-0000-0000-000000000000}">
      <formula1>0</formula1>
      <formula2>31</formula2>
    </dataValidation>
  </dataValidations>
  <pageMargins left="0.75" right="0.75" top="1" bottom="1" header="0.5" footer="0.5"/>
  <pageSetup fitToHeight="0" orientation="landscape"/>
  <headerFooter>
    <oddFooter>&amp;CBẢNG CHẤM CÔNG THÁNG – Trang &amp;P/&amp;N&amp;RTrường PTDTBT THCS YÊN THẮNG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32" customWidth="1"/>
    <col min="2" max="2" width="20" customWidth="1"/>
    <col min="3" max="3" width="42" customWidth="1"/>
  </cols>
  <sheetData>
    <row r="1" spans="1:3" ht="18" x14ac:dyDescent="0.25">
      <c r="A1" s="100" t="s">
        <v>47</v>
      </c>
      <c r="B1" s="97"/>
      <c r="C1" s="97"/>
    </row>
    <row r="2" spans="1:3" x14ac:dyDescent="0.2">
      <c r="A2" s="94" t="s">
        <v>48</v>
      </c>
      <c r="B2" s="94" t="s">
        <v>49</v>
      </c>
      <c r="C2" s="94" t="s">
        <v>50</v>
      </c>
    </row>
    <row r="3" spans="1:3" x14ac:dyDescent="0.2">
      <c r="A3" t="s">
        <v>8</v>
      </c>
      <c r="B3" s="95">
        <v>1</v>
      </c>
      <c r="C3" t="s">
        <v>51</v>
      </c>
    </row>
    <row r="4" spans="1:3" x14ac:dyDescent="0.2">
      <c r="A4" t="s">
        <v>9</v>
      </c>
      <c r="B4" s="95">
        <v>1</v>
      </c>
      <c r="C4" t="s">
        <v>51</v>
      </c>
    </row>
    <row r="5" spans="1:3" x14ac:dyDescent="0.2">
      <c r="A5" t="s">
        <v>10</v>
      </c>
      <c r="B5" s="95">
        <v>1</v>
      </c>
      <c r="C5" t="s">
        <v>51</v>
      </c>
    </row>
    <row r="6" spans="1:3" x14ac:dyDescent="0.2">
      <c r="A6" t="s">
        <v>11</v>
      </c>
      <c r="B6" s="95">
        <v>1</v>
      </c>
      <c r="C6" t="s">
        <v>51</v>
      </c>
    </row>
    <row r="7" spans="1:3" x14ac:dyDescent="0.2">
      <c r="A7" t="s">
        <v>12</v>
      </c>
      <c r="B7" s="95">
        <v>1</v>
      </c>
      <c r="C7" t="s">
        <v>51</v>
      </c>
    </row>
    <row r="8" spans="1:3" x14ac:dyDescent="0.2">
      <c r="A8" t="s">
        <v>13</v>
      </c>
      <c r="B8" s="95">
        <v>1</v>
      </c>
      <c r="C8" t="s">
        <v>51</v>
      </c>
    </row>
    <row r="9" spans="1:3" x14ac:dyDescent="0.2">
      <c r="A9" t="s">
        <v>14</v>
      </c>
      <c r="B9" s="95">
        <v>1</v>
      </c>
      <c r="C9" t="s">
        <v>51</v>
      </c>
    </row>
    <row r="10" spans="1:3" x14ac:dyDescent="0.2">
      <c r="A10" t="s">
        <v>15</v>
      </c>
      <c r="B10" s="95">
        <v>1</v>
      </c>
      <c r="C10" t="s">
        <v>51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zoomScaleNormal="100" workbookViewId="0"/>
  </sheetViews>
  <sheetFormatPr defaultColWidth="9" defaultRowHeight="12.75" customHeight="1" x14ac:dyDescent="0.2"/>
  <cols>
    <col min="1" max="1" width="4.42578125" customWidth="1"/>
    <col min="2" max="2" width="13.140625" customWidth="1"/>
    <col min="4" max="4" width="11.140625" customWidth="1"/>
    <col min="5" max="5" width="10.140625" customWidth="1"/>
    <col min="6" max="6" width="48.140625" customWidth="1"/>
    <col min="9" max="9" width="44.5703125" customWidth="1"/>
  </cols>
  <sheetData>
    <row r="1" spans="1:16" ht="15.75" customHeight="1" x14ac:dyDescent="0.25">
      <c r="A1" s="101"/>
      <c r="B1" s="97"/>
      <c r="C1" s="97"/>
      <c r="D1" s="97"/>
      <c r="E1" s="97"/>
      <c r="F1" s="97"/>
      <c r="G1" s="97"/>
      <c r="H1" s="2"/>
      <c r="I1" s="2"/>
      <c r="J1" s="101"/>
      <c r="K1" s="97"/>
      <c r="L1" s="97"/>
      <c r="M1" s="97"/>
      <c r="N1" s="97"/>
      <c r="O1" s="97"/>
      <c r="P1" s="97"/>
    </row>
    <row r="2" spans="1:16" ht="16.5" customHeight="1" x14ac:dyDescent="0.25">
      <c r="A2" s="105" t="s">
        <v>125</v>
      </c>
      <c r="B2" s="97"/>
      <c r="C2" s="97"/>
      <c r="D2" s="97"/>
      <c r="E2" s="97"/>
      <c r="F2" s="97"/>
      <c r="G2" s="97"/>
      <c r="H2" s="3"/>
      <c r="I2" s="4"/>
      <c r="J2" s="106"/>
      <c r="K2" s="97"/>
      <c r="L2" s="97"/>
      <c r="M2" s="97"/>
      <c r="N2" s="97"/>
      <c r="O2" s="97"/>
      <c r="P2" s="97"/>
    </row>
    <row r="3" spans="1:16" ht="36" customHeight="1" x14ac:dyDescent="0.3">
      <c r="A3" s="6"/>
      <c r="B3" s="7"/>
      <c r="C3" s="1"/>
      <c r="D3" s="1"/>
      <c r="E3" s="1"/>
      <c r="F3" s="4"/>
      <c r="G3" s="1" t="s">
        <v>119</v>
      </c>
      <c r="H3" s="4"/>
      <c r="I3" s="4"/>
      <c r="J3" s="5"/>
      <c r="K3" s="5"/>
      <c r="L3" s="5"/>
      <c r="M3" s="5"/>
      <c r="N3" s="5"/>
      <c r="O3" s="5"/>
      <c r="P3" s="5"/>
    </row>
    <row r="4" spans="1:16" ht="20.25" customHeight="1" x14ac:dyDescent="0.3">
      <c r="A4" s="6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 x14ac:dyDescent="0.25">
      <c r="A5" s="104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1:16" ht="24" customHeight="1" x14ac:dyDescent="0.2">
      <c r="A6" s="10" t="s">
        <v>5</v>
      </c>
      <c r="B6" s="102" t="s">
        <v>52</v>
      </c>
      <c r="C6" s="103"/>
      <c r="D6" s="11" t="s">
        <v>53</v>
      </c>
      <c r="E6" s="11" t="s">
        <v>54</v>
      </c>
      <c r="F6" s="11" t="s">
        <v>55</v>
      </c>
      <c r="G6" s="12" t="s">
        <v>56</v>
      </c>
    </row>
    <row r="7" spans="1:16" ht="15.75" customHeight="1" x14ac:dyDescent="0.25">
      <c r="A7" s="13">
        <v>1</v>
      </c>
      <c r="B7" s="14" t="s">
        <v>120</v>
      </c>
      <c r="C7" s="15" t="s">
        <v>62</v>
      </c>
      <c r="D7" s="16" t="s">
        <v>57</v>
      </c>
      <c r="E7" s="17" t="s">
        <v>20</v>
      </c>
      <c r="F7" s="18" t="s">
        <v>58</v>
      </c>
      <c r="G7" s="10"/>
    </row>
    <row r="8" spans="1:16" ht="15.75" customHeight="1" x14ac:dyDescent="0.25">
      <c r="A8" s="13">
        <v>2</v>
      </c>
      <c r="B8" s="19" t="s">
        <v>59</v>
      </c>
      <c r="C8" s="15" t="s">
        <v>62</v>
      </c>
      <c r="D8" s="20">
        <v>28491</v>
      </c>
      <c r="E8" s="17" t="s">
        <v>60</v>
      </c>
      <c r="F8" s="18" t="s">
        <v>58</v>
      </c>
      <c r="G8" s="10"/>
    </row>
    <row r="9" spans="1:16" ht="15.75" customHeight="1" x14ac:dyDescent="0.25">
      <c r="A9" s="13">
        <v>3</v>
      </c>
      <c r="B9" s="14" t="s">
        <v>61</v>
      </c>
      <c r="C9" s="15" t="s">
        <v>62</v>
      </c>
      <c r="D9" s="16" t="s">
        <v>63</v>
      </c>
      <c r="E9" s="17" t="s">
        <v>64</v>
      </c>
      <c r="F9" s="18" t="s">
        <v>58</v>
      </c>
      <c r="G9" s="10"/>
    </row>
    <row r="10" spans="1:16" ht="15.75" customHeight="1" x14ac:dyDescent="0.25">
      <c r="A10" s="13">
        <v>4</v>
      </c>
      <c r="B10" s="14" t="s">
        <v>66</v>
      </c>
      <c r="C10" s="15" t="s">
        <v>62</v>
      </c>
      <c r="D10" s="21">
        <v>26063</v>
      </c>
      <c r="E10" s="17" t="s">
        <v>60</v>
      </c>
      <c r="F10" s="22" t="s">
        <v>65</v>
      </c>
      <c r="G10" s="10"/>
    </row>
    <row r="11" spans="1:16" ht="15.75" customHeight="1" x14ac:dyDescent="0.25">
      <c r="A11" s="13">
        <v>5</v>
      </c>
      <c r="B11" s="14" t="s">
        <v>69</v>
      </c>
      <c r="C11" s="15" t="s">
        <v>62</v>
      </c>
      <c r="D11" s="23">
        <v>29135</v>
      </c>
      <c r="E11" s="17" t="s">
        <v>24</v>
      </c>
      <c r="F11" s="24" t="s">
        <v>67</v>
      </c>
      <c r="G11" s="10"/>
    </row>
    <row r="12" spans="1:16" ht="15.75" customHeight="1" x14ac:dyDescent="0.25">
      <c r="A12" s="13">
        <v>6</v>
      </c>
      <c r="B12" s="14" t="s">
        <v>71</v>
      </c>
      <c r="C12" s="15" t="s">
        <v>62</v>
      </c>
      <c r="D12" s="16" t="s">
        <v>68</v>
      </c>
      <c r="E12" s="17" t="s">
        <v>24</v>
      </c>
      <c r="F12" s="22" t="s">
        <v>65</v>
      </c>
      <c r="G12" s="10"/>
    </row>
    <row r="13" spans="1:16" ht="15.75" customHeight="1" x14ac:dyDescent="0.25">
      <c r="A13" s="13">
        <v>7</v>
      </c>
      <c r="B13" s="14" t="s">
        <v>74</v>
      </c>
      <c r="C13" s="15" t="s">
        <v>30</v>
      </c>
      <c r="D13" s="16" t="s">
        <v>70</v>
      </c>
      <c r="E13" s="17" t="s">
        <v>24</v>
      </c>
      <c r="F13" s="24" t="s">
        <v>67</v>
      </c>
      <c r="G13" s="10"/>
    </row>
    <row r="14" spans="1:16" ht="15.75" customHeight="1" x14ac:dyDescent="0.25">
      <c r="A14" s="13">
        <v>8</v>
      </c>
      <c r="B14" s="19" t="s">
        <v>76</v>
      </c>
      <c r="C14" s="15" t="s">
        <v>62</v>
      </c>
      <c r="D14" s="23">
        <v>29106</v>
      </c>
      <c r="E14" s="17" t="s">
        <v>24</v>
      </c>
      <c r="F14" s="22" t="s">
        <v>65</v>
      </c>
      <c r="G14" s="10"/>
    </row>
    <row r="15" spans="1:16" ht="15.75" customHeight="1" x14ac:dyDescent="0.25">
      <c r="A15" s="13">
        <v>9</v>
      </c>
      <c r="B15" s="19" t="s">
        <v>77</v>
      </c>
      <c r="C15" s="15" t="s">
        <v>62</v>
      </c>
      <c r="D15" s="23">
        <v>31416</v>
      </c>
      <c r="E15" s="17" t="s">
        <v>24</v>
      </c>
      <c r="F15" s="22" t="s">
        <v>65</v>
      </c>
      <c r="G15" s="10"/>
    </row>
    <row r="16" spans="1:16" ht="15.75" customHeight="1" x14ac:dyDescent="0.25">
      <c r="A16" s="13">
        <v>10</v>
      </c>
      <c r="B16" s="14" t="s">
        <v>73</v>
      </c>
      <c r="C16" s="15" t="s">
        <v>62</v>
      </c>
      <c r="D16" s="23">
        <v>31755</v>
      </c>
      <c r="E16" s="17" t="s">
        <v>75</v>
      </c>
      <c r="F16" s="22" t="s">
        <v>65</v>
      </c>
      <c r="G16" s="10"/>
    </row>
    <row r="17" spans="1:7" ht="15.75" customHeight="1" x14ac:dyDescent="0.25">
      <c r="A17" s="13">
        <v>11</v>
      </c>
      <c r="B17" s="14" t="s">
        <v>82</v>
      </c>
      <c r="C17" s="15" t="s">
        <v>62</v>
      </c>
      <c r="D17" s="20">
        <v>28775</v>
      </c>
      <c r="E17" s="17" t="s">
        <v>24</v>
      </c>
      <c r="F17" s="22" t="s">
        <v>65</v>
      </c>
      <c r="G17" s="10"/>
    </row>
    <row r="18" spans="1:7" ht="15.75" customHeight="1" x14ac:dyDescent="0.25">
      <c r="A18" s="13">
        <v>12</v>
      </c>
      <c r="B18" s="14" t="s">
        <v>73</v>
      </c>
      <c r="C18" s="15" t="s">
        <v>62</v>
      </c>
      <c r="D18" s="20">
        <v>32844</v>
      </c>
      <c r="E18" s="25" t="s">
        <v>79</v>
      </c>
      <c r="F18" s="22" t="s">
        <v>65</v>
      </c>
      <c r="G18" s="10"/>
    </row>
    <row r="19" spans="1:7" ht="15.75" customHeight="1" x14ac:dyDescent="0.25">
      <c r="A19" s="13">
        <v>13</v>
      </c>
      <c r="B19" s="14" t="s">
        <v>66</v>
      </c>
      <c r="C19" s="15" t="s">
        <v>62</v>
      </c>
      <c r="D19" s="23">
        <v>26886</v>
      </c>
      <c r="E19" s="17" t="s">
        <v>81</v>
      </c>
      <c r="F19" s="22" t="s">
        <v>65</v>
      </c>
      <c r="G19" s="10"/>
    </row>
    <row r="20" spans="1:7" ht="15.75" customHeight="1" x14ac:dyDescent="0.25">
      <c r="A20" s="13">
        <v>14</v>
      </c>
      <c r="B20" s="14" t="s">
        <v>84</v>
      </c>
      <c r="C20" s="15" t="s">
        <v>123</v>
      </c>
      <c r="D20" s="26" t="s">
        <v>83</v>
      </c>
      <c r="E20" s="17" t="s">
        <v>24</v>
      </c>
      <c r="F20" s="22" t="s">
        <v>65</v>
      </c>
      <c r="G20" s="10"/>
    </row>
    <row r="21" spans="1:7" ht="15.75" customHeight="1" x14ac:dyDescent="0.25">
      <c r="A21" s="13">
        <v>15</v>
      </c>
      <c r="B21" s="14" t="s">
        <v>86</v>
      </c>
      <c r="C21" s="15" t="s">
        <v>62</v>
      </c>
      <c r="D21" s="27">
        <v>29742</v>
      </c>
      <c r="E21" s="17" t="s">
        <v>24</v>
      </c>
      <c r="F21" s="18" t="s">
        <v>58</v>
      </c>
      <c r="G21" s="10"/>
    </row>
    <row r="22" spans="1:7" ht="15.75" customHeight="1" x14ac:dyDescent="0.25">
      <c r="A22" s="13">
        <v>16</v>
      </c>
      <c r="B22" s="14" t="s">
        <v>87</v>
      </c>
      <c r="C22" s="15" t="s">
        <v>62</v>
      </c>
      <c r="D22" s="23">
        <v>30107</v>
      </c>
      <c r="E22" s="17" t="s">
        <v>24</v>
      </c>
      <c r="F22" s="24" t="s">
        <v>67</v>
      </c>
      <c r="G22" s="10"/>
    </row>
    <row r="23" spans="1:7" ht="15.75" customHeight="1" x14ac:dyDescent="0.25">
      <c r="A23" s="13">
        <v>17</v>
      </c>
      <c r="B23" s="14" t="s">
        <v>42</v>
      </c>
      <c r="C23" s="15" t="s">
        <v>124</v>
      </c>
      <c r="D23" s="16" t="s">
        <v>85</v>
      </c>
      <c r="E23" s="17" t="s">
        <v>24</v>
      </c>
      <c r="F23" s="18" t="s">
        <v>58</v>
      </c>
      <c r="G23" s="10"/>
    </row>
    <row r="24" spans="1:7" ht="15.75" customHeight="1" x14ac:dyDescent="0.25">
      <c r="A24" s="13">
        <v>18</v>
      </c>
      <c r="B24" t="s">
        <v>121</v>
      </c>
      <c r="C24" s="15" t="s">
        <v>62</v>
      </c>
      <c r="D24" s="23">
        <v>31207</v>
      </c>
      <c r="E24" s="17" t="s">
        <v>24</v>
      </c>
      <c r="F24" s="22" t="s">
        <v>65</v>
      </c>
      <c r="G24" s="10"/>
    </row>
    <row r="25" spans="1:7" ht="15.75" customHeight="1" x14ac:dyDescent="0.25">
      <c r="A25" s="13">
        <v>19</v>
      </c>
      <c r="B25" t="s">
        <v>122</v>
      </c>
      <c r="C25" s="15" t="s">
        <v>62</v>
      </c>
      <c r="D25" s="16" t="s">
        <v>88</v>
      </c>
      <c r="E25" s="17" t="s">
        <v>24</v>
      </c>
      <c r="F25" s="22" t="s">
        <v>65</v>
      </c>
      <c r="G25" s="10"/>
    </row>
    <row r="26" spans="1:7" ht="15.75" customHeight="1" x14ac:dyDescent="0.25">
      <c r="A26" s="13">
        <v>20</v>
      </c>
      <c r="B26" s="14" t="s">
        <v>91</v>
      </c>
      <c r="C26" s="15" t="s">
        <v>44</v>
      </c>
      <c r="D26" s="16" t="s">
        <v>89</v>
      </c>
      <c r="E26" s="17" t="s">
        <v>24</v>
      </c>
      <c r="F26" s="22" t="s">
        <v>65</v>
      </c>
      <c r="G26" s="10"/>
    </row>
    <row r="27" spans="1:7" ht="15.75" customHeight="1" x14ac:dyDescent="0.25">
      <c r="A27" s="13">
        <v>21</v>
      </c>
      <c r="B27" s="14"/>
      <c r="C27" s="15" t="s">
        <v>62</v>
      </c>
      <c r="D27" s="23">
        <v>29747</v>
      </c>
      <c r="E27" s="17" t="s">
        <v>24</v>
      </c>
      <c r="F27" s="22" t="s">
        <v>65</v>
      </c>
      <c r="G27" s="10"/>
    </row>
    <row r="28" spans="1:7" ht="15.75" customHeight="1" x14ac:dyDescent="0.25">
      <c r="A28" s="13">
        <v>22</v>
      </c>
      <c r="C28" s="15" t="s">
        <v>62</v>
      </c>
      <c r="D28" s="16" t="s">
        <v>92</v>
      </c>
      <c r="E28" s="17" t="s">
        <v>93</v>
      </c>
      <c r="F28" s="22" t="s">
        <v>65</v>
      </c>
      <c r="G28" s="10"/>
    </row>
    <row r="29" spans="1:7" ht="15.75" customHeight="1" x14ac:dyDescent="0.25">
      <c r="A29" s="13">
        <v>23</v>
      </c>
      <c r="B29" s="14" t="s">
        <v>82</v>
      </c>
      <c r="C29" s="15" t="s">
        <v>94</v>
      </c>
      <c r="D29" s="16" t="s">
        <v>95</v>
      </c>
      <c r="E29" s="17" t="s">
        <v>24</v>
      </c>
      <c r="F29" s="22" t="s">
        <v>65</v>
      </c>
      <c r="G29" s="10"/>
    </row>
    <row r="30" spans="1:7" ht="15.75" customHeight="1" x14ac:dyDescent="0.25">
      <c r="A30" s="13">
        <v>24</v>
      </c>
      <c r="B30" s="28" t="s">
        <v>96</v>
      </c>
      <c r="C30" s="29" t="s">
        <v>97</v>
      </c>
      <c r="D30" s="30">
        <v>31900</v>
      </c>
      <c r="E30" s="17" t="s">
        <v>24</v>
      </c>
      <c r="F30" s="22" t="s">
        <v>65</v>
      </c>
      <c r="G30" s="10"/>
    </row>
    <row r="31" spans="1:7" ht="25.5" customHeight="1" x14ac:dyDescent="0.25">
      <c r="A31" s="13">
        <v>25</v>
      </c>
      <c r="B31" s="31" t="s">
        <v>98</v>
      </c>
      <c r="C31" s="32" t="s">
        <v>78</v>
      </c>
      <c r="D31" s="20">
        <v>29923</v>
      </c>
      <c r="E31" s="17" t="s">
        <v>24</v>
      </c>
      <c r="F31" s="22" t="s">
        <v>65</v>
      </c>
      <c r="G31" s="10"/>
    </row>
  </sheetData>
  <mergeCells count="6">
    <mergeCell ref="J1:P1"/>
    <mergeCell ref="B6:C6"/>
    <mergeCell ref="A5:P5"/>
    <mergeCell ref="A1:G1"/>
    <mergeCell ref="A2:G2"/>
    <mergeCell ref="J2:P2"/>
  </mergeCells>
  <pageMargins left="0.5" right="0" top="0.5" bottom="0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2"/>
  <sheetViews>
    <sheetView zoomScaleNormal="100" workbookViewId="0"/>
  </sheetViews>
  <sheetFormatPr defaultColWidth="9" defaultRowHeight="12.75" customHeight="1" x14ac:dyDescent="0.2"/>
  <cols>
    <col min="1" max="1" width="5.85546875" customWidth="1"/>
    <col min="2" max="2" width="15.85546875" customWidth="1"/>
    <col min="3" max="3" width="9.42578125" style="33" customWidth="1"/>
    <col min="4" max="4" width="9.85546875" customWidth="1"/>
    <col min="5" max="5" width="6.5703125" customWidth="1"/>
    <col min="6" max="6" width="6" customWidth="1"/>
    <col min="7" max="7" width="6.28515625" customWidth="1"/>
    <col min="8" max="8" width="5.85546875" customWidth="1"/>
    <col min="9" max="9" width="5" customWidth="1"/>
    <col min="10" max="10" width="5.28515625" customWidth="1"/>
    <col min="11" max="11" width="5.7109375" customWidth="1"/>
    <col min="12" max="12" width="4.42578125" customWidth="1"/>
    <col min="13" max="13" width="4.7109375" customWidth="1"/>
    <col min="14" max="15" width="5.7109375" customWidth="1"/>
    <col min="16" max="16" width="5" customWidth="1"/>
    <col min="17" max="17" width="6.140625" customWidth="1"/>
    <col min="18" max="18" width="8.7109375" customWidth="1"/>
    <col min="19" max="19" width="10.42578125" customWidth="1"/>
  </cols>
  <sheetData>
    <row r="1" spans="1:19" ht="14.25" customHeight="1" x14ac:dyDescent="0.2">
      <c r="A1" s="34" t="s">
        <v>99</v>
      </c>
    </row>
    <row r="2" spans="1:19" ht="15" customHeight="1" x14ac:dyDescent="0.2">
      <c r="A2" s="34" t="s">
        <v>125</v>
      </c>
    </row>
    <row r="3" spans="1:19" ht="12.75" customHeight="1" x14ac:dyDescent="0.2">
      <c r="G3" t="s">
        <v>119</v>
      </c>
    </row>
    <row r="4" spans="1:19" ht="22.5" customHeight="1" x14ac:dyDescent="0.3">
      <c r="A4" s="35" t="s">
        <v>100</v>
      </c>
      <c r="B4" s="7"/>
    </row>
    <row r="5" spans="1:19" ht="22.5" customHeight="1" x14ac:dyDescent="0.3">
      <c r="A5" s="35" t="s">
        <v>101</v>
      </c>
      <c r="B5" s="8"/>
    </row>
    <row r="6" spans="1:19" ht="22.5" customHeight="1" x14ac:dyDescent="0.3">
      <c r="A6" s="35"/>
      <c r="B6" s="8"/>
    </row>
    <row r="7" spans="1:19" ht="12.75" customHeight="1" x14ac:dyDescent="0.25">
      <c r="B7" t="s">
        <v>120</v>
      </c>
      <c r="C7" s="50"/>
    </row>
    <row r="8" spans="1:19" ht="18.75" customHeight="1" x14ac:dyDescent="0.3">
      <c r="A8" s="36" t="s">
        <v>5</v>
      </c>
      <c r="B8" s="37" t="s">
        <v>102</v>
      </c>
      <c r="C8" s="50"/>
      <c r="D8" s="38" t="s">
        <v>103</v>
      </c>
      <c r="E8" s="39"/>
      <c r="F8" s="40"/>
      <c r="G8" s="41"/>
      <c r="H8" s="42" t="s">
        <v>104</v>
      </c>
      <c r="I8" s="43" t="s">
        <v>105</v>
      </c>
      <c r="J8" s="44" t="s">
        <v>106</v>
      </c>
      <c r="K8" s="45"/>
      <c r="L8" s="45"/>
      <c r="M8" s="45"/>
      <c r="N8" s="45"/>
      <c r="O8" s="45"/>
      <c r="P8" s="45"/>
      <c r="Q8" s="46" t="s">
        <v>107</v>
      </c>
      <c r="R8" s="47"/>
      <c r="S8" s="36" t="s">
        <v>108</v>
      </c>
    </row>
    <row r="9" spans="1:19" ht="16.5" customHeight="1" x14ac:dyDescent="0.25">
      <c r="A9" s="48"/>
      <c r="B9" s="49"/>
      <c r="C9" s="50"/>
      <c r="D9" s="51" t="s">
        <v>109</v>
      </c>
      <c r="E9" s="52">
        <v>9</v>
      </c>
      <c r="F9" s="52">
        <v>10</v>
      </c>
      <c r="G9" s="52">
        <v>11</v>
      </c>
      <c r="H9" s="52">
        <v>12</v>
      </c>
      <c r="I9" s="52">
        <v>1</v>
      </c>
      <c r="J9" s="52">
        <v>2</v>
      </c>
      <c r="K9" s="52">
        <v>3</v>
      </c>
      <c r="L9" s="52">
        <v>4</v>
      </c>
      <c r="M9" s="52">
        <v>5</v>
      </c>
      <c r="N9" s="52">
        <v>6</v>
      </c>
      <c r="O9" s="52">
        <v>7</v>
      </c>
      <c r="P9" s="52">
        <v>8</v>
      </c>
      <c r="Q9" s="53" t="s">
        <v>110</v>
      </c>
      <c r="R9" s="53" t="s">
        <v>111</v>
      </c>
      <c r="S9" s="54" t="s">
        <v>112</v>
      </c>
    </row>
    <row r="10" spans="1:19" ht="18.75" customHeight="1" x14ac:dyDescent="0.3">
      <c r="A10" s="55">
        <v>1</v>
      </c>
      <c r="B10" s="56" t="s">
        <v>59</v>
      </c>
      <c r="C10" s="50"/>
      <c r="D10" s="58" t="s">
        <v>20</v>
      </c>
      <c r="E10" s="59"/>
      <c r="F10" s="60"/>
      <c r="G10" s="60"/>
      <c r="H10" s="60"/>
      <c r="I10" s="61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spans="1:19" ht="18.75" customHeight="1" x14ac:dyDescent="0.3">
      <c r="A11" s="52">
        <v>2</v>
      </c>
      <c r="B11" s="56" t="s">
        <v>61</v>
      </c>
      <c r="C11" s="50"/>
      <c r="D11" s="63" t="s">
        <v>21</v>
      </c>
      <c r="E11" s="60"/>
      <c r="F11" s="60"/>
      <c r="G11" s="60"/>
      <c r="H11" s="60"/>
      <c r="I11" s="61"/>
      <c r="J11" s="62"/>
      <c r="K11" s="62"/>
      <c r="L11" s="62"/>
      <c r="M11" s="62"/>
      <c r="N11" s="62"/>
      <c r="O11" s="62"/>
      <c r="P11" s="62"/>
      <c r="Q11" s="62"/>
      <c r="R11" s="62"/>
      <c r="S11" s="62"/>
    </row>
    <row r="12" spans="1:19" ht="18.75" customHeight="1" x14ac:dyDescent="0.3">
      <c r="A12" s="52">
        <v>3</v>
      </c>
      <c r="B12" s="56" t="s">
        <v>113</v>
      </c>
      <c r="C12" s="50"/>
      <c r="D12" s="64" t="s">
        <v>21</v>
      </c>
      <c r="E12" s="60"/>
      <c r="F12" s="60"/>
      <c r="G12" s="60"/>
      <c r="H12" s="60"/>
      <c r="I12" s="58"/>
      <c r="J12" s="62"/>
      <c r="K12" s="62"/>
      <c r="L12" s="62"/>
      <c r="M12" s="62"/>
      <c r="N12" s="62"/>
      <c r="O12" s="62"/>
      <c r="P12" s="62"/>
      <c r="Q12" s="62"/>
      <c r="R12" s="62"/>
      <c r="S12" s="62"/>
    </row>
    <row r="13" spans="1:19" ht="18.75" customHeight="1" x14ac:dyDescent="0.3">
      <c r="A13" s="52">
        <v>4</v>
      </c>
      <c r="B13" s="56" t="s">
        <v>66</v>
      </c>
      <c r="C13" s="50" t="s">
        <v>30</v>
      </c>
      <c r="D13" s="58" t="s">
        <v>24</v>
      </c>
      <c r="E13" s="60"/>
      <c r="F13" s="60"/>
      <c r="G13" s="60"/>
      <c r="H13" s="60"/>
      <c r="I13" s="61"/>
      <c r="J13" s="62"/>
      <c r="K13" s="62"/>
      <c r="L13" s="62"/>
      <c r="M13" s="62"/>
      <c r="N13" s="62"/>
      <c r="O13" s="62"/>
      <c r="P13" s="62"/>
      <c r="Q13" s="62"/>
      <c r="R13" s="62"/>
      <c r="S13" s="62"/>
    </row>
    <row r="14" spans="1:19" ht="18.75" customHeight="1" x14ac:dyDescent="0.3">
      <c r="A14" s="52">
        <v>5</v>
      </c>
      <c r="B14" s="56" t="s">
        <v>59</v>
      </c>
      <c r="C14" s="50"/>
      <c r="D14" s="58" t="s">
        <v>5</v>
      </c>
      <c r="E14" s="60"/>
      <c r="F14" s="60"/>
      <c r="G14" s="60"/>
      <c r="H14" s="60"/>
      <c r="I14" s="61"/>
      <c r="J14" s="62"/>
      <c r="K14" s="62"/>
      <c r="L14" s="62"/>
      <c r="M14" s="62"/>
      <c r="N14" s="62"/>
      <c r="O14" s="62"/>
      <c r="P14" s="62"/>
      <c r="Q14" s="62"/>
      <c r="R14" s="62"/>
      <c r="S14" s="62"/>
    </row>
    <row r="15" spans="1:19" ht="18.75" customHeight="1" x14ac:dyDescent="0.3">
      <c r="A15" s="52">
        <v>6</v>
      </c>
      <c r="B15" s="56" t="s">
        <v>69</v>
      </c>
      <c r="C15" s="50"/>
      <c r="D15" s="58" t="s">
        <v>26</v>
      </c>
      <c r="E15" s="60"/>
      <c r="F15" s="60"/>
      <c r="G15" s="60"/>
      <c r="H15" s="60"/>
      <c r="I15" s="65"/>
      <c r="J15" s="62"/>
      <c r="K15" s="62"/>
      <c r="L15" s="62"/>
      <c r="M15" s="62"/>
      <c r="N15" s="62"/>
      <c r="O15" s="62"/>
      <c r="P15" s="62"/>
      <c r="Q15" s="62"/>
      <c r="R15" s="62"/>
      <c r="S15" s="62"/>
    </row>
    <row r="16" spans="1:19" ht="18.75" customHeight="1" x14ac:dyDescent="0.3">
      <c r="A16" s="52">
        <v>7</v>
      </c>
      <c r="B16" s="67" t="s">
        <v>114</v>
      </c>
      <c r="C16" s="50"/>
      <c r="D16" s="58" t="s">
        <v>5</v>
      </c>
      <c r="E16" s="60"/>
      <c r="F16" s="60"/>
      <c r="G16" s="60"/>
      <c r="H16" s="60"/>
      <c r="I16" s="58"/>
      <c r="J16" s="62"/>
      <c r="K16" s="62"/>
      <c r="L16" s="62"/>
      <c r="M16" s="62"/>
      <c r="N16" s="62"/>
      <c r="O16" s="62"/>
      <c r="P16" s="62"/>
      <c r="Q16" s="62"/>
      <c r="R16" s="62"/>
      <c r="S16" s="62"/>
    </row>
    <row r="17" spans="1:19" ht="18.75" customHeight="1" x14ac:dyDescent="0.3">
      <c r="A17" s="52">
        <v>8</v>
      </c>
      <c r="B17" s="56" t="s">
        <v>74</v>
      </c>
      <c r="C17" s="50"/>
      <c r="D17" s="66" t="s">
        <v>24</v>
      </c>
      <c r="E17" s="60"/>
      <c r="F17" s="60"/>
      <c r="G17" s="60"/>
      <c r="H17" s="60"/>
      <c r="I17" s="65"/>
      <c r="J17" s="62"/>
      <c r="K17" s="62"/>
      <c r="L17" s="62"/>
      <c r="M17" s="62"/>
      <c r="N17" s="62"/>
      <c r="O17" s="62"/>
      <c r="P17" s="62"/>
      <c r="Q17" s="62"/>
      <c r="R17" s="62"/>
      <c r="S17" s="62"/>
    </row>
    <row r="18" spans="1:19" ht="18.75" customHeight="1" x14ac:dyDescent="0.3">
      <c r="A18" s="52">
        <v>9</v>
      </c>
      <c r="B18" s="56" t="s">
        <v>76</v>
      </c>
      <c r="C18" s="50"/>
      <c r="D18" s="66" t="s">
        <v>24</v>
      </c>
      <c r="E18" s="60"/>
      <c r="F18" s="60"/>
      <c r="G18" s="60"/>
      <c r="H18" s="60"/>
      <c r="I18" s="58"/>
      <c r="J18" s="62"/>
      <c r="K18" s="62"/>
      <c r="L18" s="62"/>
      <c r="M18" s="62"/>
      <c r="N18" s="62"/>
      <c r="O18" s="62"/>
      <c r="P18" s="62"/>
      <c r="Q18" s="62"/>
      <c r="R18" s="62"/>
      <c r="S18" s="62"/>
    </row>
    <row r="19" spans="1:19" ht="18.75" customHeight="1" x14ac:dyDescent="0.3">
      <c r="A19" s="52">
        <v>10</v>
      </c>
      <c r="B19" s="56" t="s">
        <v>82</v>
      </c>
      <c r="C19" s="50"/>
      <c r="D19" s="66" t="s">
        <v>24</v>
      </c>
      <c r="E19" s="60"/>
      <c r="F19" s="60"/>
      <c r="G19" s="60"/>
      <c r="H19" s="60"/>
      <c r="I19" s="58"/>
      <c r="J19" s="62"/>
      <c r="K19" s="62"/>
      <c r="L19" s="62"/>
      <c r="M19" s="62"/>
      <c r="N19" s="62"/>
      <c r="O19" s="62"/>
      <c r="P19" s="62"/>
      <c r="Q19" s="62"/>
      <c r="R19" s="62"/>
      <c r="S19" s="62"/>
    </row>
    <row r="20" spans="1:19" ht="18.75" customHeight="1" x14ac:dyDescent="0.3">
      <c r="A20" s="52">
        <v>11</v>
      </c>
      <c r="B20" s="56" t="s">
        <v>87</v>
      </c>
      <c r="C20" s="50" t="s">
        <v>123</v>
      </c>
      <c r="D20" s="63" t="s">
        <v>30</v>
      </c>
      <c r="E20" s="60"/>
      <c r="F20" s="60"/>
      <c r="G20" s="60"/>
      <c r="H20" s="60"/>
      <c r="I20" s="58"/>
      <c r="J20" s="62"/>
      <c r="K20" s="62"/>
      <c r="L20" s="62"/>
      <c r="M20" s="62"/>
      <c r="N20" s="62"/>
      <c r="O20" s="62"/>
      <c r="P20" s="62"/>
      <c r="Q20" s="62"/>
      <c r="R20" s="62"/>
      <c r="S20" s="62"/>
    </row>
    <row r="21" spans="1:19" ht="18.75" customHeight="1" x14ac:dyDescent="0.3">
      <c r="A21" s="52">
        <v>12</v>
      </c>
      <c r="B21" s="68" t="s">
        <v>115</v>
      </c>
      <c r="C21" s="50"/>
      <c r="D21" s="66" t="s">
        <v>32</v>
      </c>
      <c r="E21" s="60"/>
      <c r="F21" s="60"/>
      <c r="G21" s="60"/>
      <c r="H21" s="60"/>
      <c r="I21" s="58"/>
      <c r="J21" s="62"/>
      <c r="K21" s="62"/>
      <c r="L21" s="62"/>
      <c r="M21" s="62"/>
      <c r="N21" s="62"/>
      <c r="O21" s="62"/>
      <c r="P21" s="62"/>
      <c r="Q21" s="62"/>
      <c r="R21" s="62"/>
      <c r="S21" s="62"/>
    </row>
    <row r="22" spans="1:19" ht="18.75" customHeight="1" x14ac:dyDescent="0.3">
      <c r="A22" s="52">
        <v>13</v>
      </c>
      <c r="B22" s="56" t="s">
        <v>82</v>
      </c>
      <c r="C22" s="50"/>
      <c r="D22" s="66" t="s">
        <v>24</v>
      </c>
      <c r="E22" s="60"/>
      <c r="F22" s="60"/>
      <c r="G22" s="60"/>
      <c r="H22" s="60"/>
      <c r="I22" s="58"/>
      <c r="J22" s="62"/>
      <c r="K22" s="62"/>
      <c r="L22" s="62"/>
      <c r="M22" s="62"/>
      <c r="N22" s="62"/>
      <c r="O22" s="62"/>
      <c r="P22" s="62"/>
      <c r="Q22" s="62"/>
      <c r="R22" s="62"/>
      <c r="S22" s="62"/>
    </row>
    <row r="23" spans="1:19" ht="18.75" customHeight="1" x14ac:dyDescent="0.3">
      <c r="A23" s="52">
        <v>14</v>
      </c>
      <c r="B23" s="69" t="s">
        <v>42</v>
      </c>
      <c r="C23" s="50" t="s">
        <v>124</v>
      </c>
      <c r="D23" s="66" t="s">
        <v>24</v>
      </c>
      <c r="E23" s="60"/>
      <c r="F23" s="60"/>
      <c r="G23" s="60"/>
      <c r="H23" s="60"/>
      <c r="I23" s="58"/>
      <c r="J23" s="62"/>
      <c r="K23" s="62"/>
      <c r="L23" s="62"/>
      <c r="M23" s="62"/>
      <c r="N23" s="62"/>
      <c r="O23" s="62"/>
      <c r="P23" s="62"/>
      <c r="Q23" s="62"/>
      <c r="R23" s="62"/>
      <c r="S23" s="62"/>
    </row>
    <row r="24" spans="1:19" ht="15" customHeight="1" x14ac:dyDescent="0.3">
      <c r="A24" s="52">
        <v>15</v>
      </c>
      <c r="B24" t="s">
        <v>121</v>
      </c>
      <c r="C24" s="50"/>
      <c r="D24" s="66" t="s">
        <v>24</v>
      </c>
      <c r="E24" s="60"/>
      <c r="F24" s="60"/>
      <c r="G24" s="60"/>
      <c r="H24" s="60"/>
      <c r="I24" s="61"/>
      <c r="J24" s="62"/>
      <c r="K24" s="62"/>
      <c r="L24" s="62"/>
      <c r="M24" s="62"/>
      <c r="N24" s="62"/>
      <c r="O24" s="62"/>
      <c r="P24" s="62"/>
      <c r="Q24" s="62"/>
      <c r="R24" s="62"/>
      <c r="S24" s="62"/>
    </row>
    <row r="25" spans="1:19" ht="18.75" customHeight="1" x14ac:dyDescent="0.3">
      <c r="A25" s="52">
        <v>16</v>
      </c>
      <c r="B25" t="s">
        <v>122</v>
      </c>
      <c r="C25" s="50"/>
      <c r="D25" s="58" t="s">
        <v>37</v>
      </c>
      <c r="E25" s="60"/>
      <c r="F25" s="60"/>
      <c r="G25" s="60"/>
      <c r="H25" s="60"/>
      <c r="I25" s="58"/>
      <c r="J25" s="62"/>
      <c r="K25" s="62"/>
      <c r="L25" s="62"/>
      <c r="M25" s="62"/>
      <c r="N25" s="62"/>
      <c r="O25" s="62"/>
      <c r="P25" s="62"/>
      <c r="Q25" s="62"/>
      <c r="R25" s="62"/>
      <c r="S25" s="62"/>
    </row>
    <row r="26" spans="1:19" ht="18.75" customHeight="1" x14ac:dyDescent="0.3">
      <c r="A26" s="52">
        <v>17</v>
      </c>
      <c r="B26" s="56" t="s">
        <v>116</v>
      </c>
      <c r="C26" s="50" t="s">
        <v>44</v>
      </c>
      <c r="D26" s="66" t="s">
        <v>24</v>
      </c>
      <c r="E26" s="60"/>
      <c r="F26" s="60"/>
      <c r="G26" s="60"/>
      <c r="H26" s="60"/>
      <c r="I26" s="58"/>
      <c r="J26" s="62"/>
      <c r="K26" s="62"/>
      <c r="L26" s="62"/>
      <c r="M26" s="62"/>
      <c r="N26" s="62"/>
      <c r="O26" s="62"/>
      <c r="P26" s="62"/>
      <c r="Q26" s="62"/>
      <c r="R26" s="62"/>
      <c r="S26" s="62"/>
    </row>
    <row r="27" spans="1:19" ht="18.75" customHeight="1" x14ac:dyDescent="0.3">
      <c r="A27" s="52">
        <v>18</v>
      </c>
      <c r="B27" s="56"/>
      <c r="C27" s="50"/>
      <c r="D27" s="66" t="s">
        <v>24</v>
      </c>
      <c r="E27" s="60"/>
      <c r="F27" s="60"/>
      <c r="G27" s="60"/>
      <c r="H27" s="60"/>
      <c r="I27" s="58"/>
      <c r="J27" s="62"/>
      <c r="K27" s="62"/>
      <c r="L27" s="62"/>
      <c r="M27" s="62"/>
      <c r="N27" s="62"/>
      <c r="O27" s="62"/>
      <c r="P27" s="62"/>
      <c r="Q27" s="62"/>
      <c r="R27" s="62"/>
      <c r="S27" s="62"/>
    </row>
    <row r="28" spans="1:19" ht="18.75" customHeight="1" x14ac:dyDescent="0.3">
      <c r="A28" s="52">
        <v>19</v>
      </c>
      <c r="C28" s="50"/>
      <c r="D28" s="66" t="s">
        <v>24</v>
      </c>
      <c r="E28" s="60"/>
      <c r="F28" s="60"/>
      <c r="G28" s="60"/>
      <c r="H28" s="60"/>
      <c r="I28" s="58"/>
      <c r="J28" s="62"/>
      <c r="K28" s="62"/>
      <c r="L28" s="62"/>
      <c r="M28" s="62"/>
      <c r="N28" s="62"/>
      <c r="O28" s="62"/>
      <c r="P28" s="62"/>
      <c r="Q28" s="62"/>
      <c r="R28" s="62"/>
      <c r="S28" s="62"/>
    </row>
    <row r="29" spans="1:19" ht="18.75" customHeight="1" x14ac:dyDescent="0.3">
      <c r="A29" s="52">
        <v>20</v>
      </c>
      <c r="B29" s="56" t="s">
        <v>74</v>
      </c>
      <c r="C29" s="57" t="s">
        <v>90</v>
      </c>
      <c r="D29" s="66" t="s">
        <v>24</v>
      </c>
      <c r="E29" s="60"/>
      <c r="F29" s="60"/>
      <c r="G29" s="60"/>
      <c r="H29" s="60"/>
      <c r="I29" s="58"/>
      <c r="J29" s="62"/>
      <c r="K29" s="62"/>
      <c r="L29" s="62"/>
      <c r="M29" s="62"/>
      <c r="N29" s="62"/>
      <c r="O29" s="62"/>
      <c r="P29" s="62"/>
      <c r="Q29" s="62"/>
      <c r="R29" s="62"/>
      <c r="S29" s="62"/>
    </row>
    <row r="30" spans="1:19" ht="18.75" customHeight="1" x14ac:dyDescent="0.3">
      <c r="A30" s="52">
        <v>21</v>
      </c>
      <c r="B30" s="56" t="s">
        <v>77</v>
      </c>
      <c r="C30" s="57" t="s">
        <v>78</v>
      </c>
      <c r="D30" s="66" t="s">
        <v>30</v>
      </c>
      <c r="E30" s="60"/>
      <c r="F30" s="60"/>
      <c r="G30" s="60"/>
      <c r="H30" s="60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</row>
    <row r="31" spans="1:19" ht="18.75" customHeight="1" x14ac:dyDescent="0.3">
      <c r="A31" s="52">
        <v>22</v>
      </c>
      <c r="B31" s="56" t="s">
        <v>71</v>
      </c>
      <c r="C31" s="57" t="s">
        <v>72</v>
      </c>
      <c r="D31" s="66" t="s">
        <v>24</v>
      </c>
      <c r="E31" s="60"/>
      <c r="F31" s="60"/>
      <c r="G31" s="60"/>
      <c r="H31" s="60"/>
      <c r="I31" s="58"/>
      <c r="J31" s="62"/>
      <c r="K31" s="62"/>
      <c r="L31" s="62"/>
      <c r="M31" s="62"/>
      <c r="N31" s="62"/>
      <c r="O31" s="62"/>
      <c r="P31" s="62"/>
      <c r="Q31" s="62"/>
      <c r="R31" s="62"/>
      <c r="S31" s="62"/>
    </row>
    <row r="32" spans="1:19" ht="18.75" customHeight="1" x14ac:dyDescent="0.3">
      <c r="A32" s="52">
        <v>23</v>
      </c>
      <c r="B32" s="56" t="s">
        <v>73</v>
      </c>
      <c r="C32" s="57" t="s">
        <v>80</v>
      </c>
      <c r="D32" s="63" t="s">
        <v>44</v>
      </c>
      <c r="E32" s="70"/>
      <c r="F32" s="60"/>
      <c r="G32" s="60"/>
      <c r="H32" s="60"/>
      <c r="I32" s="58"/>
      <c r="J32" s="71"/>
      <c r="K32" s="62"/>
      <c r="L32" s="62"/>
      <c r="M32" s="62"/>
      <c r="N32" s="62"/>
      <c r="O32" s="62"/>
      <c r="P32" s="62"/>
      <c r="Q32" s="62"/>
      <c r="R32" s="62"/>
      <c r="S32" s="62"/>
    </row>
    <row r="33" spans="1:19" ht="18" customHeight="1" x14ac:dyDescent="0.25">
      <c r="A33" s="72"/>
      <c r="B33" s="72"/>
      <c r="C33" s="73"/>
      <c r="D33" s="72"/>
      <c r="E33" s="72"/>
      <c r="F33" s="72"/>
      <c r="G33" s="72"/>
      <c r="H33" s="72"/>
      <c r="I33" s="72"/>
      <c r="J33" s="74"/>
      <c r="K33" s="72"/>
      <c r="L33" s="72"/>
      <c r="M33" s="72"/>
      <c r="N33" s="72"/>
      <c r="O33" s="72"/>
      <c r="P33" s="72"/>
      <c r="Q33" s="72"/>
      <c r="R33" s="72"/>
      <c r="S33" s="72"/>
    </row>
    <row r="34" spans="1:19" ht="18" customHeight="1" x14ac:dyDescent="0.25">
      <c r="A34" s="72"/>
      <c r="B34" s="75" t="s">
        <v>117</v>
      </c>
      <c r="C34" s="75"/>
      <c r="D34" s="75"/>
      <c r="E34" s="75"/>
      <c r="F34" s="75"/>
      <c r="G34" s="75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19" ht="18.75" customHeight="1" x14ac:dyDescent="0.25">
      <c r="A35" s="72"/>
      <c r="B35" s="107" t="s">
        <v>118</v>
      </c>
      <c r="C35" s="108"/>
      <c r="D35" s="97"/>
      <c r="E35" s="97"/>
      <c r="F35" s="97"/>
      <c r="G35" s="97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</row>
    <row r="37" spans="1:19" ht="12.75" customHeight="1" x14ac:dyDescent="0.2">
      <c r="B37" s="76"/>
    </row>
    <row r="42" spans="1:19" ht="15" customHeight="1" x14ac:dyDescent="0.25">
      <c r="B42" s="77"/>
      <c r="I42" s="78"/>
    </row>
  </sheetData>
  <mergeCells count="1">
    <mergeCell ref="B35:G35"/>
  </mergeCells>
  <pageMargins left="0.25" right="0" top="0.5" bottom="0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ColWidth="9" defaultRowHeight="12.75" customHeight="1" x14ac:dyDescent="0.2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Chấm công tháng</vt:lpstr>
      <vt:lpstr>Quy định điểm trừ</vt:lpstr>
      <vt:lpstr>Sheet1</vt:lpstr>
      <vt:lpstr>Dữ liệu gốc</vt:lpstr>
      <vt:lpstr>Sheet3</vt:lpstr>
      <vt:lpstr>'Chấm công tháng'!Print_Area</vt:lpstr>
      <vt:lpstr>'Chấm công tháng'!Print_Titles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0</cp:revision>
  <cp:lastPrinted>2022-11-10T02:44:40Z</cp:lastPrinted>
  <dcterms:created xsi:type="dcterms:W3CDTF">2018-10-02T02:38:26Z</dcterms:created>
  <dcterms:modified xsi:type="dcterms:W3CDTF">2026-09-17T03:14:32Z</dcterms:modified>
  <dc:language>en-US</dc:language>
</cp:coreProperties>
</file>